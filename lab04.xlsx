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MPC_VFO\"/>
    </mc:Choice>
  </mc:AlternateContent>
  <xr:revisionPtr revIDLastSave="0" documentId="13_ncr:1_{58860E13-1BF6-4847-B47F-3C9FDC89086A}" xr6:coauthVersionLast="47" xr6:coauthVersionMax="47" xr10:uidLastSave="{00000000-0000-0000-0000-000000000000}"/>
  <bookViews>
    <workbookView xWindow="31170" yWindow="6405" windowWidth="13110" windowHeight="11295" xr2:uid="{4B0695F2-0968-45B6-9513-41221B702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K5" i="1"/>
  <c r="K3" i="1"/>
  <c r="K4" i="1"/>
  <c r="K8" i="1"/>
  <c r="K9" i="1"/>
  <c r="K7" i="1"/>
  <c r="E7" i="1"/>
  <c r="E6" i="1"/>
  <c r="E3" i="1"/>
  <c r="E8" i="1"/>
  <c r="E5" i="1"/>
</calcChain>
</file>

<file path=xl/sharedStrings.xml><?xml version="1.0" encoding="utf-8"?>
<sst xmlns="http://schemas.openxmlformats.org/spreadsheetml/2006/main" count="8" uniqueCount="8">
  <si>
    <t>l1[mm]</t>
  </si>
  <si>
    <t>f0[MHz]</t>
  </si>
  <si>
    <t>f+90[MHz]</t>
  </si>
  <si>
    <t>f-90[MHz]</t>
  </si>
  <si>
    <t>sp[mm]</t>
  </si>
  <si>
    <t>fp1[MHz]</t>
  </si>
  <si>
    <t>fp2[MHz]</t>
  </si>
  <si>
    <t>M[-]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</si>
</sst>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2FA0-3772-459C-8E46-C57F9B4FD628}">
  <dimension ref="A2:K9"/>
  <sheetViews>
    <sheetView tabSelected="1" workbookViewId="0">
      <selection activeCell="F13" sqref="F13"/>
    </sheetView>
  </sheetViews>
  <sheetFormatPr defaultRowHeight="15" x14ac:dyDescent="0.25"/>
  <sheetData>
    <row r="2" spans="1:11" x14ac:dyDescent="0.25">
      <c r="A2" t="s">
        <v>0</v>
      </c>
      <c r="B2" t="s">
        <v>1</v>
      </c>
      <c r="C2" t="s">
        <v>2</v>
      </c>
      <c r="D2" t="s">
        <v>3</v>
      </c>
      <c r="H2" t="s">
        <v>4</v>
      </c>
      <c r="I2" t="s">
        <v>5</v>
      </c>
      <c r="J2" t="s">
        <v>6</v>
      </c>
      <c r="K2" t="s">
        <v>7</v>
      </c>
    </row>
    <row r="3" spans="1:11" x14ac:dyDescent="0.25">
      <c r="A3">
        <v>3</v>
      </c>
      <c r="B3">
        <v>1292</v>
      </c>
      <c r="C3">
        <v>1275.5</v>
      </c>
      <c r="D3">
        <v>1309.0999999999999</v>
      </c>
      <c r="E3">
        <f t="shared" ref="E3:E4" si="0">B3/(D3-C3)</f>
        <v>38.452380952381056</v>
      </c>
      <c r="H3">
        <v>0.5</v>
      </c>
      <c r="I3">
        <v>1214.0999999999999</v>
      </c>
      <c r="J3">
        <v>1404.6</v>
      </c>
      <c r="K3">
        <f t="shared" ref="K3:K6" si="1">(J3^2-I3^2)/(J3^2+I3^2)</f>
        <v>0.14472614966949943</v>
      </c>
    </row>
    <row r="4" spans="1:11" x14ac:dyDescent="0.25">
      <c r="H4">
        <v>0.9</v>
      </c>
      <c r="I4">
        <v>1228.5</v>
      </c>
      <c r="J4">
        <v>1367.8</v>
      </c>
      <c r="K4">
        <f t="shared" si="1"/>
        <v>0.10699853772197462</v>
      </c>
    </row>
    <row r="5" spans="1:11" x14ac:dyDescent="0.25">
      <c r="A5">
        <v>4</v>
      </c>
      <c r="B5">
        <v>1295.9000000000001</v>
      </c>
      <c r="C5">
        <v>1266.5999999999999</v>
      </c>
      <c r="D5">
        <v>1329.3</v>
      </c>
      <c r="E5">
        <f>B5/(D5-C5)</f>
        <v>20.668261562998392</v>
      </c>
      <c r="H5">
        <v>0.91</v>
      </c>
      <c r="I5">
        <v>1228.2</v>
      </c>
      <c r="J5">
        <v>1366.6</v>
      </c>
      <c r="K5">
        <f t="shared" si="1"/>
        <v>0.10637227157676896</v>
      </c>
    </row>
    <row r="6" spans="1:11" x14ac:dyDescent="0.25">
      <c r="A6">
        <v>5</v>
      </c>
      <c r="B6">
        <v>1298.9000000000001</v>
      </c>
      <c r="C6">
        <v>1252.2</v>
      </c>
      <c r="D6">
        <v>1348.4</v>
      </c>
      <c r="E6">
        <f>B6/(D6-C6)</f>
        <v>13.502079002078997</v>
      </c>
      <c r="H6">
        <v>0.92</v>
      </c>
      <c r="I6">
        <v>1228.8</v>
      </c>
      <c r="J6">
        <v>1366</v>
      </c>
      <c r="K6">
        <f t="shared" si="1"/>
        <v>0.10545513383810895</v>
      </c>
    </row>
    <row r="7" spans="1:11" x14ac:dyDescent="0.25">
      <c r="A7">
        <v>5.0999999999999996</v>
      </c>
      <c r="B7">
        <v>1298.9000000000001</v>
      </c>
      <c r="C7">
        <v>1250.7</v>
      </c>
      <c r="D7">
        <v>1350.6</v>
      </c>
      <c r="E7">
        <f>B7/(D7-C7)</f>
        <v>13.002002002002021</v>
      </c>
      <c r="H7">
        <v>1</v>
      </c>
      <c r="I7">
        <v>1231.3</v>
      </c>
      <c r="J7">
        <v>1361.5</v>
      </c>
      <c r="K7">
        <f>(J7^2-I7^2)/(J7^2+I7^2)</f>
        <v>0.10017934869696644</v>
      </c>
    </row>
    <row r="8" spans="1:11" x14ac:dyDescent="0.25">
      <c r="A8">
        <v>15</v>
      </c>
      <c r="B8">
        <v>1379</v>
      </c>
      <c r="C8">
        <v>1065.5</v>
      </c>
      <c r="D8">
        <v>1814.8</v>
      </c>
      <c r="E8">
        <f>B8/(D8-C8)</f>
        <v>1.8403843587348192</v>
      </c>
      <c r="K8" t="e">
        <f t="shared" ref="K8:K9" si="2">(J8^2-I8^2)/(J8^2+I8^2)</f>
        <v>#DIV/0!</v>
      </c>
    </row>
    <row r="9" spans="1:11" x14ac:dyDescent="0.25">
      <c r="H9" s="1">
        <v>2.5</v>
      </c>
      <c r="I9">
        <v>1261.9000000000001</v>
      </c>
      <c r="J9">
        <v>1315.5</v>
      </c>
      <c r="K9">
        <f t="shared" si="2"/>
        <v>4.1574322261305606E-2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Koňař Lukáš (247398)</dc:creator>
  <cp:lastModifiedBy>Koňař Lukáš (247398)</cp:lastModifiedBy>
  <dcterms:created xsi:type="dcterms:W3CDTF">2026-03-10T13:33:42Z</dcterms:created>
  <dcterms:modified xsi:type="dcterms:W3CDTF">2026-03-10T14:22:31Z</dcterms:modified>
</cp:coreProperties>
</file>